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社A" sheetId="1" state="visible" r:id="rId1"/>
    <sheet name="会社B" sheetId="2" state="visible" r:id="rId2"/>
    <sheet name="会社C" sheetId="3" state="visible" r:id="rId3"/>
    <sheet name="全品種集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sz val="10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EDEDED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3" fontId="4" fillId="10" borderId="2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3" fontId="3" fillId="1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米在庫推移管理表　会社A</t>
        </is>
      </c>
    </row>
    <row r="2" ht="20" customHeight="1">
      <c r="A2" s="2" t="inlineStr">
        <is>
          <t>年度</t>
        </is>
      </c>
      <c r="B2" s="2" t="inlineStr">
        <is>
          <t>品種</t>
        </is>
      </c>
      <c r="C2" s="2" t="inlineStr">
        <is>
          <t>移入在庫</t>
        </is>
      </c>
      <c r="D2" s="2" t="inlineStr">
        <is>
          <t>購入</t>
        </is>
      </c>
      <c r="E2" s="2" t="inlineStr">
        <is>
          <t>使用</t>
        </is>
      </c>
      <c r="F2" s="2" t="inlineStr">
        <is>
          <t>繰越在庫</t>
        </is>
      </c>
    </row>
    <row r="3" ht="18" customHeight="1">
      <c r="A3" s="3" t="n">
        <v>2020</v>
      </c>
      <c r="B3" s="4" t="inlineStr">
        <is>
          <t>コシヒカリ</t>
        </is>
      </c>
      <c r="C3" s="5" t="n">
        <v>0</v>
      </c>
      <c r="D3" s="5" t="n">
        <v>0</v>
      </c>
      <c r="E3" s="5" t="n">
        <v>0</v>
      </c>
      <c r="F3" s="6">
        <f>C3+D3-E3</f>
        <v/>
      </c>
    </row>
    <row r="4" ht="18" customHeight="1">
      <c r="A4" s="7" t="inlineStr"/>
      <c r="B4" s="8" t="inlineStr">
        <is>
          <t>ひとめぼれ</t>
        </is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ht="18" customHeight="1">
      <c r="A5" s="7" t="inlineStr"/>
      <c r="B5" s="11" t="inlineStr">
        <is>
          <t>あきたこまち</t>
        </is>
      </c>
      <c r="C5" s="12" t="n">
        <v>0</v>
      </c>
      <c r="D5" s="12" t="n">
        <v>0</v>
      </c>
      <c r="E5" s="12" t="n">
        <v>0</v>
      </c>
      <c r="F5" s="13">
        <f>C5+D5-E5</f>
        <v/>
      </c>
    </row>
    <row r="6" ht="18" customHeight="1">
      <c r="A6" s="7" t="inlineStr"/>
      <c r="B6" s="8" t="inlineStr">
        <is>
          <t>ササニシキ</t>
        </is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ht="18" customHeight="1">
      <c r="A7" s="7" t="inlineStr"/>
      <c r="B7" s="11" t="inlineStr">
        <is>
          <t>つや姫</t>
        </is>
      </c>
      <c r="C7" s="12" t="n">
        <v>0</v>
      </c>
      <c r="D7" s="12" t="n">
        <v>0</v>
      </c>
      <c r="E7" s="12" t="n">
        <v>0</v>
      </c>
      <c r="F7" s="13">
        <f>C7+D7-E7</f>
        <v/>
      </c>
    </row>
    <row r="8" ht="18" customHeight="1">
      <c r="A8" s="7" t="inlineStr"/>
      <c r="B8" s="8" t="inlineStr">
        <is>
          <t>ゆめぴりか</t>
        </is>
      </c>
      <c r="C8" s="9" t="n">
        <v>0</v>
      </c>
      <c r="D8" s="9" t="n">
        <v>0</v>
      </c>
      <c r="E8" s="9" t="n">
        <v>0</v>
      </c>
      <c r="F8" s="10">
        <f>C8+D8-E8</f>
        <v/>
      </c>
    </row>
    <row r="9" ht="18" customHeight="1">
      <c r="A9" s="7" t="inlineStr"/>
      <c r="B9" s="11" t="inlineStr">
        <is>
          <t>新之助</t>
        </is>
      </c>
      <c r="C9" s="12" t="n">
        <v>0</v>
      </c>
      <c r="D9" s="12" t="n">
        <v>0</v>
      </c>
      <c r="E9" s="12" t="n">
        <v>0</v>
      </c>
      <c r="F9" s="13">
        <f>C9+D9-E9</f>
        <v/>
      </c>
    </row>
    <row r="10" ht="20" customHeight="1">
      <c r="A10" s="14" t="inlineStr">
        <is>
          <t>小計</t>
        </is>
      </c>
      <c r="B10" s="15" t="inlineStr">
        <is>
          <t>2020年度 合計</t>
        </is>
      </c>
      <c r="C10" s="13">
        <f>SUM(C3:C9)</f>
        <v/>
      </c>
      <c r="D10" s="13">
        <f>SUM(D3:D9)</f>
        <v/>
      </c>
      <c r="E10" s="13">
        <f>SUM(E3:E9)</f>
        <v/>
      </c>
      <c r="F10" s="13">
        <f>SUM(F3:F9)</f>
        <v/>
      </c>
    </row>
    <row r="12" ht="18" customHeight="1">
      <c r="A12" s="3" t="n">
        <v>2021</v>
      </c>
      <c r="B12" s="4" t="inlineStr">
        <is>
          <t>コシヒカリ</t>
        </is>
      </c>
      <c r="C12" s="5" t="n">
        <v>0</v>
      </c>
      <c r="D12" s="5" t="n">
        <v>0</v>
      </c>
      <c r="E12" s="5" t="n">
        <v>0</v>
      </c>
      <c r="F12" s="6">
        <f>C12+D12-E12</f>
        <v/>
      </c>
    </row>
    <row r="13" ht="18" customHeight="1">
      <c r="A13" s="7" t="inlineStr"/>
      <c r="B13" s="8" t="inlineStr">
        <is>
          <t>ひとめぼれ</t>
        </is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ht="18" customHeight="1">
      <c r="A14" s="7" t="inlineStr"/>
      <c r="B14" s="11" t="inlineStr">
        <is>
          <t>あきたこまち</t>
        </is>
      </c>
      <c r="C14" s="12" t="n">
        <v>0</v>
      </c>
      <c r="D14" s="12" t="n">
        <v>0</v>
      </c>
      <c r="E14" s="12" t="n">
        <v>0</v>
      </c>
      <c r="F14" s="13">
        <f>C14+D14-E14</f>
        <v/>
      </c>
    </row>
    <row r="15" ht="18" customHeight="1">
      <c r="A15" s="7" t="inlineStr"/>
      <c r="B15" s="8" t="inlineStr">
        <is>
          <t>ササニシキ</t>
        </is>
      </c>
      <c r="C15" s="9" t="n">
        <v>0</v>
      </c>
      <c r="D15" s="9" t="n">
        <v>0</v>
      </c>
      <c r="E15" s="9" t="n">
        <v>0</v>
      </c>
      <c r="F15" s="10">
        <f>C15+D15-E15</f>
        <v/>
      </c>
    </row>
    <row r="16" ht="18" customHeight="1">
      <c r="A16" s="7" t="inlineStr"/>
      <c r="B16" s="11" t="inlineStr">
        <is>
          <t>つや姫</t>
        </is>
      </c>
      <c r="C16" s="12" t="n">
        <v>0</v>
      </c>
      <c r="D16" s="12" t="n">
        <v>0</v>
      </c>
      <c r="E16" s="12" t="n">
        <v>0</v>
      </c>
      <c r="F16" s="13">
        <f>C16+D16-E16</f>
        <v/>
      </c>
    </row>
    <row r="17" ht="18" customHeight="1">
      <c r="A17" s="7" t="inlineStr"/>
      <c r="B17" s="8" t="inlineStr">
        <is>
          <t>ゆめぴりか</t>
        </is>
      </c>
      <c r="C17" s="9" t="n">
        <v>0</v>
      </c>
      <c r="D17" s="9" t="n">
        <v>0</v>
      </c>
      <c r="E17" s="9" t="n">
        <v>0</v>
      </c>
      <c r="F17" s="10">
        <f>C17+D17-E17</f>
        <v/>
      </c>
    </row>
    <row r="18" ht="18" customHeight="1">
      <c r="A18" s="7" t="inlineStr"/>
      <c r="B18" s="11" t="inlineStr">
        <is>
          <t>新之助</t>
        </is>
      </c>
      <c r="C18" s="12" t="n">
        <v>0</v>
      </c>
      <c r="D18" s="12" t="n">
        <v>0</v>
      </c>
      <c r="E18" s="12" t="n">
        <v>0</v>
      </c>
      <c r="F18" s="13">
        <f>C18+D18-E18</f>
        <v/>
      </c>
    </row>
    <row r="19" ht="20" customHeight="1">
      <c r="A19" s="14" t="inlineStr">
        <is>
          <t>小計</t>
        </is>
      </c>
      <c r="B19" s="15" t="inlineStr">
        <is>
          <t>2021年度 合計</t>
        </is>
      </c>
      <c r="C19" s="13">
        <f>SUM(C12:C18)</f>
        <v/>
      </c>
      <c r="D19" s="13">
        <f>SUM(D12:D18)</f>
        <v/>
      </c>
      <c r="E19" s="13">
        <f>SUM(E12:E18)</f>
        <v/>
      </c>
      <c r="F19" s="13">
        <f>SUM(F12:F18)</f>
        <v/>
      </c>
    </row>
    <row r="21" ht="18" customHeight="1">
      <c r="A21" s="3" t="n">
        <v>2022</v>
      </c>
      <c r="B21" s="4" t="inlineStr">
        <is>
          <t>コシヒカリ</t>
        </is>
      </c>
      <c r="C21" s="5" t="n">
        <v>0</v>
      </c>
      <c r="D21" s="5" t="n">
        <v>0</v>
      </c>
      <c r="E21" s="5" t="n">
        <v>0</v>
      </c>
      <c r="F21" s="6">
        <f>C21+D21-E21</f>
        <v/>
      </c>
    </row>
    <row r="22" ht="18" customHeight="1">
      <c r="A22" s="7" t="inlineStr"/>
      <c r="B22" s="8" t="inlineStr">
        <is>
          <t>ひとめぼれ</t>
        </is>
      </c>
      <c r="C22" s="9" t="n">
        <v>0</v>
      </c>
      <c r="D22" s="9" t="n">
        <v>0</v>
      </c>
      <c r="E22" s="9" t="n">
        <v>0</v>
      </c>
      <c r="F22" s="10">
        <f>C22+D22-E22</f>
        <v/>
      </c>
    </row>
    <row r="23" ht="18" customHeight="1">
      <c r="A23" s="7" t="inlineStr"/>
      <c r="B23" s="11" t="inlineStr">
        <is>
          <t>あきたこまち</t>
        </is>
      </c>
      <c r="C23" s="12" t="n">
        <v>0</v>
      </c>
      <c r="D23" s="12" t="n">
        <v>0</v>
      </c>
      <c r="E23" s="12" t="n">
        <v>0</v>
      </c>
      <c r="F23" s="13">
        <f>C23+D23-E23</f>
        <v/>
      </c>
    </row>
    <row r="24" ht="18" customHeight="1">
      <c r="A24" s="7" t="inlineStr"/>
      <c r="B24" s="8" t="inlineStr">
        <is>
          <t>ササニシキ</t>
        </is>
      </c>
      <c r="C24" s="9" t="n">
        <v>0</v>
      </c>
      <c r="D24" s="9" t="n">
        <v>0</v>
      </c>
      <c r="E24" s="9" t="n">
        <v>0</v>
      </c>
      <c r="F24" s="10">
        <f>C24+D24-E24</f>
        <v/>
      </c>
    </row>
    <row r="25" ht="18" customHeight="1">
      <c r="A25" s="7" t="inlineStr"/>
      <c r="B25" s="11" t="inlineStr">
        <is>
          <t>つや姫</t>
        </is>
      </c>
      <c r="C25" s="12" t="n">
        <v>0</v>
      </c>
      <c r="D25" s="12" t="n">
        <v>0</v>
      </c>
      <c r="E25" s="12" t="n">
        <v>0</v>
      </c>
      <c r="F25" s="13">
        <f>C25+D25-E25</f>
        <v/>
      </c>
    </row>
    <row r="26" ht="18" customHeight="1">
      <c r="A26" s="7" t="inlineStr"/>
      <c r="B26" s="8" t="inlineStr">
        <is>
          <t>ゆめぴりか</t>
        </is>
      </c>
      <c r="C26" s="9" t="n">
        <v>0</v>
      </c>
      <c r="D26" s="9" t="n">
        <v>0</v>
      </c>
      <c r="E26" s="9" t="n">
        <v>0</v>
      </c>
      <c r="F26" s="10">
        <f>C26+D26-E26</f>
        <v/>
      </c>
    </row>
    <row r="27" ht="18" customHeight="1">
      <c r="A27" s="7" t="inlineStr"/>
      <c r="B27" s="11" t="inlineStr">
        <is>
          <t>新之助</t>
        </is>
      </c>
      <c r="C27" s="12" t="n">
        <v>0</v>
      </c>
      <c r="D27" s="12" t="n">
        <v>0</v>
      </c>
      <c r="E27" s="12" t="n">
        <v>0</v>
      </c>
      <c r="F27" s="13">
        <f>C27+D27-E27</f>
        <v/>
      </c>
    </row>
    <row r="28" ht="20" customHeight="1">
      <c r="A28" s="14" t="inlineStr">
        <is>
          <t>小計</t>
        </is>
      </c>
      <c r="B28" s="15" t="inlineStr">
        <is>
          <t>2022年度 合計</t>
        </is>
      </c>
      <c r="C28" s="13">
        <f>SUM(C21:C27)</f>
        <v/>
      </c>
      <c r="D28" s="13">
        <f>SUM(D21:D27)</f>
        <v/>
      </c>
      <c r="E28" s="13">
        <f>SUM(E21:E27)</f>
        <v/>
      </c>
      <c r="F28" s="13">
        <f>SUM(F21:F27)</f>
        <v/>
      </c>
    </row>
    <row r="30" ht="18" customHeight="1">
      <c r="A30" s="3" t="n">
        <v>2023</v>
      </c>
      <c r="B30" s="4" t="inlineStr">
        <is>
          <t>コシヒカリ</t>
        </is>
      </c>
      <c r="C30" s="5" t="n">
        <v>0</v>
      </c>
      <c r="D30" s="5" t="n">
        <v>0</v>
      </c>
      <c r="E30" s="5" t="n">
        <v>0</v>
      </c>
      <c r="F30" s="6">
        <f>C30+D30-E30</f>
        <v/>
      </c>
    </row>
    <row r="31" ht="18" customHeight="1">
      <c r="A31" s="7" t="inlineStr"/>
      <c r="B31" s="8" t="inlineStr">
        <is>
          <t>ひとめぼれ</t>
        </is>
      </c>
      <c r="C31" s="9" t="n">
        <v>0</v>
      </c>
      <c r="D31" s="9" t="n">
        <v>0</v>
      </c>
      <c r="E31" s="9" t="n">
        <v>0</v>
      </c>
      <c r="F31" s="10">
        <f>C31+D31-E31</f>
        <v/>
      </c>
    </row>
    <row r="32" ht="18" customHeight="1">
      <c r="A32" s="7" t="inlineStr"/>
      <c r="B32" s="11" t="inlineStr">
        <is>
          <t>あきたこまち</t>
        </is>
      </c>
      <c r="C32" s="12" t="n">
        <v>0</v>
      </c>
      <c r="D32" s="12" t="n">
        <v>0</v>
      </c>
      <c r="E32" s="12" t="n">
        <v>0</v>
      </c>
      <c r="F32" s="13">
        <f>C32+D32-E32</f>
        <v/>
      </c>
    </row>
    <row r="33" ht="18" customHeight="1">
      <c r="A33" s="7" t="inlineStr"/>
      <c r="B33" s="8" t="inlineStr">
        <is>
          <t>ササニシキ</t>
        </is>
      </c>
      <c r="C33" s="9" t="n">
        <v>0</v>
      </c>
      <c r="D33" s="9" t="n">
        <v>0</v>
      </c>
      <c r="E33" s="9" t="n">
        <v>0</v>
      </c>
      <c r="F33" s="10">
        <f>C33+D33-E33</f>
        <v/>
      </c>
    </row>
    <row r="34" ht="18" customHeight="1">
      <c r="A34" s="7" t="inlineStr"/>
      <c r="B34" s="11" t="inlineStr">
        <is>
          <t>つや姫</t>
        </is>
      </c>
      <c r="C34" s="12" t="n">
        <v>0</v>
      </c>
      <c r="D34" s="12" t="n">
        <v>0</v>
      </c>
      <c r="E34" s="12" t="n">
        <v>0</v>
      </c>
      <c r="F34" s="13">
        <f>C34+D34-E34</f>
        <v/>
      </c>
    </row>
    <row r="35" ht="18" customHeight="1">
      <c r="A35" s="7" t="inlineStr"/>
      <c r="B35" s="8" t="inlineStr">
        <is>
          <t>ゆめぴりか</t>
        </is>
      </c>
      <c r="C35" s="9" t="n">
        <v>0</v>
      </c>
      <c r="D35" s="9" t="n">
        <v>0</v>
      </c>
      <c r="E35" s="9" t="n">
        <v>0</v>
      </c>
      <c r="F35" s="10">
        <f>C35+D35-E35</f>
        <v/>
      </c>
    </row>
    <row r="36" ht="18" customHeight="1">
      <c r="A36" s="7" t="inlineStr"/>
      <c r="B36" s="11" t="inlineStr">
        <is>
          <t>新之助</t>
        </is>
      </c>
      <c r="C36" s="12" t="n">
        <v>0</v>
      </c>
      <c r="D36" s="12" t="n">
        <v>0</v>
      </c>
      <c r="E36" s="12" t="n">
        <v>0</v>
      </c>
      <c r="F36" s="13">
        <f>C36+D36-E36</f>
        <v/>
      </c>
    </row>
    <row r="37" ht="20" customHeight="1">
      <c r="A37" s="14" t="inlineStr">
        <is>
          <t>小計</t>
        </is>
      </c>
      <c r="B37" s="15" t="inlineStr">
        <is>
          <t>2023年度 合計</t>
        </is>
      </c>
      <c r="C37" s="13">
        <f>SUM(C30:C36)</f>
        <v/>
      </c>
      <c r="D37" s="13">
        <f>SUM(D30:D36)</f>
        <v/>
      </c>
      <c r="E37" s="13">
        <f>SUM(E30:E36)</f>
        <v/>
      </c>
      <c r="F37" s="13">
        <f>SUM(F30:F36)</f>
        <v/>
      </c>
    </row>
    <row r="39" ht="18" customHeight="1">
      <c r="A39" s="3" t="n">
        <v>2024</v>
      </c>
      <c r="B39" s="4" t="inlineStr">
        <is>
          <t>コシヒカリ</t>
        </is>
      </c>
      <c r="C39" s="5" t="n">
        <v>0</v>
      </c>
      <c r="D39" s="5" t="n">
        <v>0</v>
      </c>
      <c r="E39" s="5" t="n">
        <v>0</v>
      </c>
      <c r="F39" s="6">
        <f>C39+D39-E39</f>
        <v/>
      </c>
    </row>
    <row r="40" ht="18" customHeight="1">
      <c r="A40" s="7" t="inlineStr"/>
      <c r="B40" s="8" t="inlineStr">
        <is>
          <t>ひとめぼれ</t>
        </is>
      </c>
      <c r="C40" s="9" t="n">
        <v>0</v>
      </c>
      <c r="D40" s="9" t="n">
        <v>0</v>
      </c>
      <c r="E40" s="9" t="n">
        <v>0</v>
      </c>
      <c r="F40" s="10">
        <f>C40+D40-E40</f>
        <v/>
      </c>
    </row>
    <row r="41" ht="18" customHeight="1">
      <c r="A41" s="7" t="inlineStr"/>
      <c r="B41" s="11" t="inlineStr">
        <is>
          <t>あきたこまち</t>
        </is>
      </c>
      <c r="C41" s="12" t="n">
        <v>0</v>
      </c>
      <c r="D41" s="12" t="n">
        <v>0</v>
      </c>
      <c r="E41" s="12" t="n">
        <v>0</v>
      </c>
      <c r="F41" s="13">
        <f>C41+D41-E41</f>
        <v/>
      </c>
    </row>
    <row r="42" ht="18" customHeight="1">
      <c r="A42" s="7" t="inlineStr"/>
      <c r="B42" s="8" t="inlineStr">
        <is>
          <t>ササニシキ</t>
        </is>
      </c>
      <c r="C42" s="9" t="n">
        <v>0</v>
      </c>
      <c r="D42" s="9" t="n">
        <v>0</v>
      </c>
      <c r="E42" s="9" t="n">
        <v>0</v>
      </c>
      <c r="F42" s="10">
        <f>C42+D42-E42</f>
        <v/>
      </c>
    </row>
    <row r="43" ht="18" customHeight="1">
      <c r="A43" s="7" t="inlineStr"/>
      <c r="B43" s="11" t="inlineStr">
        <is>
          <t>つや姫</t>
        </is>
      </c>
      <c r="C43" s="12" t="n">
        <v>0</v>
      </c>
      <c r="D43" s="12" t="n">
        <v>0</v>
      </c>
      <c r="E43" s="12" t="n">
        <v>0</v>
      </c>
      <c r="F43" s="13">
        <f>C43+D43-E43</f>
        <v/>
      </c>
    </row>
    <row r="44" ht="18" customHeight="1">
      <c r="A44" s="7" t="inlineStr"/>
      <c r="B44" s="8" t="inlineStr">
        <is>
          <t>ゆめぴりか</t>
        </is>
      </c>
      <c r="C44" s="9" t="n">
        <v>0</v>
      </c>
      <c r="D44" s="9" t="n">
        <v>0</v>
      </c>
      <c r="E44" s="9" t="n">
        <v>0</v>
      </c>
      <c r="F44" s="10">
        <f>C44+D44-E44</f>
        <v/>
      </c>
    </row>
    <row r="45" ht="18" customHeight="1">
      <c r="A45" s="7" t="inlineStr"/>
      <c r="B45" s="11" t="inlineStr">
        <is>
          <t>新之助</t>
        </is>
      </c>
      <c r="C45" s="12" t="n">
        <v>0</v>
      </c>
      <c r="D45" s="12" t="n">
        <v>0</v>
      </c>
      <c r="E45" s="12" t="n">
        <v>0</v>
      </c>
      <c r="F45" s="13">
        <f>C45+D45-E45</f>
        <v/>
      </c>
    </row>
    <row r="46" ht="20" customHeight="1">
      <c r="A46" s="14" t="inlineStr">
        <is>
          <t>小計</t>
        </is>
      </c>
      <c r="B46" s="15" t="inlineStr">
        <is>
          <t>2024年度 合計</t>
        </is>
      </c>
      <c r="C46" s="13">
        <f>SUM(C39:C45)</f>
        <v/>
      </c>
      <c r="D46" s="13">
        <f>SUM(D39:D45)</f>
        <v/>
      </c>
      <c r="E46" s="13">
        <f>SUM(E39:E45)</f>
        <v/>
      </c>
      <c r="F46" s="13">
        <f>SUM(F39:F45)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6" t="inlineStr">
        <is>
          <t>米在庫推移管理表　会社B</t>
        </is>
      </c>
    </row>
    <row r="2" ht="20" customHeight="1">
      <c r="A2" s="17" t="inlineStr">
        <is>
          <t>年度</t>
        </is>
      </c>
      <c r="B2" s="17" t="inlineStr">
        <is>
          <t>品種</t>
        </is>
      </c>
      <c r="C2" s="17" t="inlineStr">
        <is>
          <t>移入在庫</t>
        </is>
      </c>
      <c r="D2" s="17" t="inlineStr">
        <is>
          <t>購入</t>
        </is>
      </c>
      <c r="E2" s="17" t="inlineStr">
        <is>
          <t>使用</t>
        </is>
      </c>
      <c r="F2" s="17" t="inlineStr">
        <is>
          <t>繰越在庫</t>
        </is>
      </c>
    </row>
    <row r="3" ht="18" customHeight="1">
      <c r="A3" s="18" t="n">
        <v>2020</v>
      </c>
      <c r="B3" s="19" t="inlineStr">
        <is>
          <t>コシヒカリ</t>
        </is>
      </c>
      <c r="C3" s="20" t="n">
        <v>0</v>
      </c>
      <c r="D3" s="20" t="n">
        <v>0</v>
      </c>
      <c r="E3" s="20" t="n">
        <v>0</v>
      </c>
      <c r="F3" s="6">
        <f>C3+D3-E3</f>
        <v/>
      </c>
    </row>
    <row r="4" ht="18" customHeight="1">
      <c r="A4" s="21" t="inlineStr"/>
      <c r="B4" s="8" t="inlineStr">
        <is>
          <t>ひとめぼれ</t>
        </is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ht="18" customHeight="1">
      <c r="A5" s="21" t="inlineStr"/>
      <c r="B5" s="22" t="inlineStr">
        <is>
          <t>あきたこまち</t>
        </is>
      </c>
      <c r="C5" s="23" t="n">
        <v>0</v>
      </c>
      <c r="D5" s="23" t="n">
        <v>0</v>
      </c>
      <c r="E5" s="23" t="n">
        <v>0</v>
      </c>
      <c r="F5" s="13">
        <f>C5+D5-E5</f>
        <v/>
      </c>
    </row>
    <row r="6" ht="18" customHeight="1">
      <c r="A6" s="21" t="inlineStr"/>
      <c r="B6" s="8" t="inlineStr">
        <is>
          <t>ササニシキ</t>
        </is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ht="18" customHeight="1">
      <c r="A7" s="21" t="inlineStr"/>
      <c r="B7" s="22" t="inlineStr">
        <is>
          <t>つや姫</t>
        </is>
      </c>
      <c r="C7" s="23" t="n">
        <v>0</v>
      </c>
      <c r="D7" s="23" t="n">
        <v>0</v>
      </c>
      <c r="E7" s="23" t="n">
        <v>0</v>
      </c>
      <c r="F7" s="13">
        <f>C7+D7-E7</f>
        <v/>
      </c>
    </row>
    <row r="8" ht="18" customHeight="1">
      <c r="A8" s="21" t="inlineStr"/>
      <c r="B8" s="8" t="inlineStr">
        <is>
          <t>ゆめぴりか</t>
        </is>
      </c>
      <c r="C8" s="9" t="n">
        <v>0</v>
      </c>
      <c r="D8" s="9" t="n">
        <v>0</v>
      </c>
      <c r="E8" s="9" t="n">
        <v>0</v>
      </c>
      <c r="F8" s="10">
        <f>C8+D8-E8</f>
        <v/>
      </c>
    </row>
    <row r="9" ht="18" customHeight="1">
      <c r="A9" s="21" t="inlineStr"/>
      <c r="B9" s="22" t="inlineStr">
        <is>
          <t>新之助</t>
        </is>
      </c>
      <c r="C9" s="23" t="n">
        <v>0</v>
      </c>
      <c r="D9" s="23" t="n">
        <v>0</v>
      </c>
      <c r="E9" s="23" t="n">
        <v>0</v>
      </c>
      <c r="F9" s="13">
        <f>C9+D9-E9</f>
        <v/>
      </c>
    </row>
    <row r="10" ht="20" customHeight="1">
      <c r="A10" s="14" t="inlineStr">
        <is>
          <t>小計</t>
        </is>
      </c>
      <c r="B10" s="15" t="inlineStr">
        <is>
          <t>2020年度 合計</t>
        </is>
      </c>
      <c r="C10" s="13">
        <f>SUM(C3:C9)</f>
        <v/>
      </c>
      <c r="D10" s="13">
        <f>SUM(D3:D9)</f>
        <v/>
      </c>
      <c r="E10" s="13">
        <f>SUM(E3:E9)</f>
        <v/>
      </c>
      <c r="F10" s="13">
        <f>SUM(F3:F9)</f>
        <v/>
      </c>
    </row>
    <row r="12" ht="18" customHeight="1">
      <c r="A12" s="18" t="n">
        <v>2021</v>
      </c>
      <c r="B12" s="19" t="inlineStr">
        <is>
          <t>コシヒカリ</t>
        </is>
      </c>
      <c r="C12" s="20" t="n">
        <v>0</v>
      </c>
      <c r="D12" s="20" t="n">
        <v>0</v>
      </c>
      <c r="E12" s="20" t="n">
        <v>0</v>
      </c>
      <c r="F12" s="6">
        <f>C12+D12-E12</f>
        <v/>
      </c>
    </row>
    <row r="13" ht="18" customHeight="1">
      <c r="A13" s="21" t="inlineStr"/>
      <c r="B13" s="8" t="inlineStr">
        <is>
          <t>ひとめぼれ</t>
        </is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ht="18" customHeight="1">
      <c r="A14" s="21" t="inlineStr"/>
      <c r="B14" s="22" t="inlineStr">
        <is>
          <t>あきたこまち</t>
        </is>
      </c>
      <c r="C14" s="23" t="n">
        <v>0</v>
      </c>
      <c r="D14" s="23" t="n">
        <v>0</v>
      </c>
      <c r="E14" s="23" t="n">
        <v>0</v>
      </c>
      <c r="F14" s="13">
        <f>C14+D14-E14</f>
        <v/>
      </c>
    </row>
    <row r="15" ht="18" customHeight="1">
      <c r="A15" s="21" t="inlineStr"/>
      <c r="B15" s="8" t="inlineStr">
        <is>
          <t>ササニシキ</t>
        </is>
      </c>
      <c r="C15" s="9" t="n">
        <v>0</v>
      </c>
      <c r="D15" s="9" t="n">
        <v>0</v>
      </c>
      <c r="E15" s="9" t="n">
        <v>0</v>
      </c>
      <c r="F15" s="10">
        <f>C15+D15-E15</f>
        <v/>
      </c>
    </row>
    <row r="16" ht="18" customHeight="1">
      <c r="A16" s="21" t="inlineStr"/>
      <c r="B16" s="22" t="inlineStr">
        <is>
          <t>つや姫</t>
        </is>
      </c>
      <c r="C16" s="23" t="n">
        <v>0</v>
      </c>
      <c r="D16" s="23" t="n">
        <v>0</v>
      </c>
      <c r="E16" s="23" t="n">
        <v>0</v>
      </c>
      <c r="F16" s="13">
        <f>C16+D16-E16</f>
        <v/>
      </c>
    </row>
    <row r="17" ht="18" customHeight="1">
      <c r="A17" s="21" t="inlineStr"/>
      <c r="B17" s="8" t="inlineStr">
        <is>
          <t>ゆめぴりか</t>
        </is>
      </c>
      <c r="C17" s="9" t="n">
        <v>0</v>
      </c>
      <c r="D17" s="9" t="n">
        <v>0</v>
      </c>
      <c r="E17" s="9" t="n">
        <v>0</v>
      </c>
      <c r="F17" s="10">
        <f>C17+D17-E17</f>
        <v/>
      </c>
    </row>
    <row r="18" ht="18" customHeight="1">
      <c r="A18" s="21" t="inlineStr"/>
      <c r="B18" s="22" t="inlineStr">
        <is>
          <t>新之助</t>
        </is>
      </c>
      <c r="C18" s="23" t="n">
        <v>0</v>
      </c>
      <c r="D18" s="23" t="n">
        <v>0</v>
      </c>
      <c r="E18" s="23" t="n">
        <v>0</v>
      </c>
      <c r="F18" s="13">
        <f>C18+D18-E18</f>
        <v/>
      </c>
    </row>
    <row r="19" ht="20" customHeight="1">
      <c r="A19" s="14" t="inlineStr">
        <is>
          <t>小計</t>
        </is>
      </c>
      <c r="B19" s="15" t="inlineStr">
        <is>
          <t>2021年度 合計</t>
        </is>
      </c>
      <c r="C19" s="13">
        <f>SUM(C12:C18)</f>
        <v/>
      </c>
      <c r="D19" s="13">
        <f>SUM(D12:D18)</f>
        <v/>
      </c>
      <c r="E19" s="13">
        <f>SUM(E12:E18)</f>
        <v/>
      </c>
      <c r="F19" s="13">
        <f>SUM(F12:F18)</f>
        <v/>
      </c>
    </row>
    <row r="21" ht="18" customHeight="1">
      <c r="A21" s="18" t="n">
        <v>2022</v>
      </c>
      <c r="B21" s="19" t="inlineStr">
        <is>
          <t>コシヒカリ</t>
        </is>
      </c>
      <c r="C21" s="20" t="n">
        <v>0</v>
      </c>
      <c r="D21" s="20" t="n">
        <v>0</v>
      </c>
      <c r="E21" s="20" t="n">
        <v>0</v>
      </c>
      <c r="F21" s="6">
        <f>C21+D21-E21</f>
        <v/>
      </c>
    </row>
    <row r="22" ht="18" customHeight="1">
      <c r="A22" s="21" t="inlineStr"/>
      <c r="B22" s="8" t="inlineStr">
        <is>
          <t>ひとめぼれ</t>
        </is>
      </c>
      <c r="C22" s="9" t="n">
        <v>0</v>
      </c>
      <c r="D22" s="9" t="n">
        <v>0</v>
      </c>
      <c r="E22" s="9" t="n">
        <v>0</v>
      </c>
      <c r="F22" s="10">
        <f>C22+D22-E22</f>
        <v/>
      </c>
    </row>
    <row r="23" ht="18" customHeight="1">
      <c r="A23" s="21" t="inlineStr"/>
      <c r="B23" s="22" t="inlineStr">
        <is>
          <t>あきたこまち</t>
        </is>
      </c>
      <c r="C23" s="23" t="n">
        <v>0</v>
      </c>
      <c r="D23" s="23" t="n">
        <v>0</v>
      </c>
      <c r="E23" s="23" t="n">
        <v>0</v>
      </c>
      <c r="F23" s="13">
        <f>C23+D23-E23</f>
        <v/>
      </c>
    </row>
    <row r="24" ht="18" customHeight="1">
      <c r="A24" s="21" t="inlineStr"/>
      <c r="B24" s="8" t="inlineStr">
        <is>
          <t>ササニシキ</t>
        </is>
      </c>
      <c r="C24" s="9" t="n">
        <v>0</v>
      </c>
      <c r="D24" s="9" t="n">
        <v>0</v>
      </c>
      <c r="E24" s="9" t="n">
        <v>0</v>
      </c>
      <c r="F24" s="10">
        <f>C24+D24-E24</f>
        <v/>
      </c>
    </row>
    <row r="25" ht="18" customHeight="1">
      <c r="A25" s="21" t="inlineStr"/>
      <c r="B25" s="22" t="inlineStr">
        <is>
          <t>つや姫</t>
        </is>
      </c>
      <c r="C25" s="23" t="n">
        <v>0</v>
      </c>
      <c r="D25" s="23" t="n">
        <v>0</v>
      </c>
      <c r="E25" s="23" t="n">
        <v>0</v>
      </c>
      <c r="F25" s="13">
        <f>C25+D25-E25</f>
        <v/>
      </c>
    </row>
    <row r="26" ht="18" customHeight="1">
      <c r="A26" s="21" t="inlineStr"/>
      <c r="B26" s="8" t="inlineStr">
        <is>
          <t>ゆめぴりか</t>
        </is>
      </c>
      <c r="C26" s="9" t="n">
        <v>0</v>
      </c>
      <c r="D26" s="9" t="n">
        <v>0</v>
      </c>
      <c r="E26" s="9" t="n">
        <v>0</v>
      </c>
      <c r="F26" s="10">
        <f>C26+D26-E26</f>
        <v/>
      </c>
    </row>
    <row r="27" ht="18" customHeight="1">
      <c r="A27" s="21" t="inlineStr"/>
      <c r="B27" s="22" t="inlineStr">
        <is>
          <t>新之助</t>
        </is>
      </c>
      <c r="C27" s="23" t="n">
        <v>0</v>
      </c>
      <c r="D27" s="23" t="n">
        <v>0</v>
      </c>
      <c r="E27" s="23" t="n">
        <v>0</v>
      </c>
      <c r="F27" s="13">
        <f>C27+D27-E27</f>
        <v/>
      </c>
    </row>
    <row r="28" ht="20" customHeight="1">
      <c r="A28" s="14" t="inlineStr">
        <is>
          <t>小計</t>
        </is>
      </c>
      <c r="B28" s="15" t="inlineStr">
        <is>
          <t>2022年度 合計</t>
        </is>
      </c>
      <c r="C28" s="13">
        <f>SUM(C21:C27)</f>
        <v/>
      </c>
      <c r="D28" s="13">
        <f>SUM(D21:D27)</f>
        <v/>
      </c>
      <c r="E28" s="13">
        <f>SUM(E21:E27)</f>
        <v/>
      </c>
      <c r="F28" s="13">
        <f>SUM(F21:F27)</f>
        <v/>
      </c>
    </row>
    <row r="30" ht="18" customHeight="1">
      <c r="A30" s="18" t="n">
        <v>2023</v>
      </c>
      <c r="B30" s="19" t="inlineStr">
        <is>
          <t>コシヒカリ</t>
        </is>
      </c>
      <c r="C30" s="20" t="n">
        <v>0</v>
      </c>
      <c r="D30" s="20" t="n">
        <v>0</v>
      </c>
      <c r="E30" s="20" t="n">
        <v>0</v>
      </c>
      <c r="F30" s="6">
        <f>C30+D30-E30</f>
        <v/>
      </c>
    </row>
    <row r="31" ht="18" customHeight="1">
      <c r="A31" s="21" t="inlineStr"/>
      <c r="B31" s="8" t="inlineStr">
        <is>
          <t>ひとめぼれ</t>
        </is>
      </c>
      <c r="C31" s="9" t="n">
        <v>0</v>
      </c>
      <c r="D31" s="9" t="n">
        <v>0</v>
      </c>
      <c r="E31" s="9" t="n">
        <v>0</v>
      </c>
      <c r="F31" s="10">
        <f>C31+D31-E31</f>
        <v/>
      </c>
    </row>
    <row r="32" ht="18" customHeight="1">
      <c r="A32" s="21" t="inlineStr"/>
      <c r="B32" s="22" t="inlineStr">
        <is>
          <t>あきたこまち</t>
        </is>
      </c>
      <c r="C32" s="23" t="n">
        <v>0</v>
      </c>
      <c r="D32" s="23" t="n">
        <v>0</v>
      </c>
      <c r="E32" s="23" t="n">
        <v>0</v>
      </c>
      <c r="F32" s="13">
        <f>C32+D32-E32</f>
        <v/>
      </c>
    </row>
    <row r="33" ht="18" customHeight="1">
      <c r="A33" s="21" t="inlineStr"/>
      <c r="B33" s="8" t="inlineStr">
        <is>
          <t>ササニシキ</t>
        </is>
      </c>
      <c r="C33" s="9" t="n">
        <v>0</v>
      </c>
      <c r="D33" s="9" t="n">
        <v>0</v>
      </c>
      <c r="E33" s="9" t="n">
        <v>0</v>
      </c>
      <c r="F33" s="10">
        <f>C33+D33-E33</f>
        <v/>
      </c>
    </row>
    <row r="34" ht="18" customHeight="1">
      <c r="A34" s="21" t="inlineStr"/>
      <c r="B34" s="22" t="inlineStr">
        <is>
          <t>つや姫</t>
        </is>
      </c>
      <c r="C34" s="23" t="n">
        <v>0</v>
      </c>
      <c r="D34" s="23" t="n">
        <v>0</v>
      </c>
      <c r="E34" s="23" t="n">
        <v>0</v>
      </c>
      <c r="F34" s="13">
        <f>C34+D34-E34</f>
        <v/>
      </c>
    </row>
    <row r="35" ht="18" customHeight="1">
      <c r="A35" s="21" t="inlineStr"/>
      <c r="B35" s="8" t="inlineStr">
        <is>
          <t>ゆめぴりか</t>
        </is>
      </c>
      <c r="C35" s="9" t="n">
        <v>0</v>
      </c>
      <c r="D35" s="9" t="n">
        <v>0</v>
      </c>
      <c r="E35" s="9" t="n">
        <v>0</v>
      </c>
      <c r="F35" s="10">
        <f>C35+D35-E35</f>
        <v/>
      </c>
    </row>
    <row r="36" ht="18" customHeight="1">
      <c r="A36" s="21" t="inlineStr"/>
      <c r="B36" s="22" t="inlineStr">
        <is>
          <t>新之助</t>
        </is>
      </c>
      <c r="C36" s="23" t="n">
        <v>0</v>
      </c>
      <c r="D36" s="23" t="n">
        <v>0</v>
      </c>
      <c r="E36" s="23" t="n">
        <v>0</v>
      </c>
      <c r="F36" s="13">
        <f>C36+D36-E36</f>
        <v/>
      </c>
    </row>
    <row r="37" ht="20" customHeight="1">
      <c r="A37" s="14" t="inlineStr">
        <is>
          <t>小計</t>
        </is>
      </c>
      <c r="B37" s="15" t="inlineStr">
        <is>
          <t>2023年度 合計</t>
        </is>
      </c>
      <c r="C37" s="13">
        <f>SUM(C30:C36)</f>
        <v/>
      </c>
      <c r="D37" s="13">
        <f>SUM(D30:D36)</f>
        <v/>
      </c>
      <c r="E37" s="13">
        <f>SUM(E30:E36)</f>
        <v/>
      </c>
      <c r="F37" s="13">
        <f>SUM(F30:F36)</f>
        <v/>
      </c>
    </row>
    <row r="39" ht="18" customHeight="1">
      <c r="A39" s="18" t="n">
        <v>2024</v>
      </c>
      <c r="B39" s="19" t="inlineStr">
        <is>
          <t>コシヒカリ</t>
        </is>
      </c>
      <c r="C39" s="20" t="n">
        <v>0</v>
      </c>
      <c r="D39" s="20" t="n">
        <v>0</v>
      </c>
      <c r="E39" s="20" t="n">
        <v>0</v>
      </c>
      <c r="F39" s="6">
        <f>C39+D39-E39</f>
        <v/>
      </c>
    </row>
    <row r="40" ht="18" customHeight="1">
      <c r="A40" s="21" t="inlineStr"/>
      <c r="B40" s="8" t="inlineStr">
        <is>
          <t>ひとめぼれ</t>
        </is>
      </c>
      <c r="C40" s="9" t="n">
        <v>0</v>
      </c>
      <c r="D40" s="9" t="n">
        <v>0</v>
      </c>
      <c r="E40" s="9" t="n">
        <v>0</v>
      </c>
      <c r="F40" s="10">
        <f>C40+D40-E40</f>
        <v/>
      </c>
    </row>
    <row r="41" ht="18" customHeight="1">
      <c r="A41" s="21" t="inlineStr"/>
      <c r="B41" s="22" t="inlineStr">
        <is>
          <t>あきたこまち</t>
        </is>
      </c>
      <c r="C41" s="23" t="n">
        <v>0</v>
      </c>
      <c r="D41" s="23" t="n">
        <v>0</v>
      </c>
      <c r="E41" s="23" t="n">
        <v>0</v>
      </c>
      <c r="F41" s="13">
        <f>C41+D41-E41</f>
        <v/>
      </c>
    </row>
    <row r="42" ht="18" customHeight="1">
      <c r="A42" s="21" t="inlineStr"/>
      <c r="B42" s="8" t="inlineStr">
        <is>
          <t>ササニシキ</t>
        </is>
      </c>
      <c r="C42" s="9" t="n">
        <v>0</v>
      </c>
      <c r="D42" s="9" t="n">
        <v>0</v>
      </c>
      <c r="E42" s="9" t="n">
        <v>0</v>
      </c>
      <c r="F42" s="10">
        <f>C42+D42-E42</f>
        <v/>
      </c>
    </row>
    <row r="43" ht="18" customHeight="1">
      <c r="A43" s="21" t="inlineStr"/>
      <c r="B43" s="22" t="inlineStr">
        <is>
          <t>つや姫</t>
        </is>
      </c>
      <c r="C43" s="23" t="n">
        <v>0</v>
      </c>
      <c r="D43" s="23" t="n">
        <v>0</v>
      </c>
      <c r="E43" s="23" t="n">
        <v>0</v>
      </c>
      <c r="F43" s="13">
        <f>C43+D43-E43</f>
        <v/>
      </c>
    </row>
    <row r="44" ht="18" customHeight="1">
      <c r="A44" s="21" t="inlineStr"/>
      <c r="B44" s="8" t="inlineStr">
        <is>
          <t>ゆめぴりか</t>
        </is>
      </c>
      <c r="C44" s="9" t="n">
        <v>0</v>
      </c>
      <c r="D44" s="9" t="n">
        <v>0</v>
      </c>
      <c r="E44" s="9" t="n">
        <v>0</v>
      </c>
      <c r="F44" s="10">
        <f>C44+D44-E44</f>
        <v/>
      </c>
    </row>
    <row r="45" ht="18" customHeight="1">
      <c r="A45" s="21" t="inlineStr"/>
      <c r="B45" s="22" t="inlineStr">
        <is>
          <t>新之助</t>
        </is>
      </c>
      <c r="C45" s="23" t="n">
        <v>0</v>
      </c>
      <c r="D45" s="23" t="n">
        <v>0</v>
      </c>
      <c r="E45" s="23" t="n">
        <v>0</v>
      </c>
      <c r="F45" s="13">
        <f>C45+D45-E45</f>
        <v/>
      </c>
    </row>
    <row r="46" ht="20" customHeight="1">
      <c r="A46" s="14" t="inlineStr">
        <is>
          <t>小計</t>
        </is>
      </c>
      <c r="B46" s="15" t="inlineStr">
        <is>
          <t>2024年度 合計</t>
        </is>
      </c>
      <c r="C46" s="13">
        <f>SUM(C39:C45)</f>
        <v/>
      </c>
      <c r="D46" s="13">
        <f>SUM(D39:D45)</f>
        <v/>
      </c>
      <c r="E46" s="13">
        <f>SUM(E39:E45)</f>
        <v/>
      </c>
      <c r="F46" s="13">
        <f>SUM(F39:F45)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24" t="inlineStr">
        <is>
          <t>米在庫推移管理表　会社C</t>
        </is>
      </c>
    </row>
    <row r="2" ht="20" customHeight="1">
      <c r="A2" s="25" t="inlineStr">
        <is>
          <t>年度</t>
        </is>
      </c>
      <c r="B2" s="25" t="inlineStr">
        <is>
          <t>品種</t>
        </is>
      </c>
      <c r="C2" s="25" t="inlineStr">
        <is>
          <t>移入在庫</t>
        </is>
      </c>
      <c r="D2" s="25" t="inlineStr">
        <is>
          <t>購入</t>
        </is>
      </c>
      <c r="E2" s="25" t="inlineStr">
        <is>
          <t>使用</t>
        </is>
      </c>
      <c r="F2" s="25" t="inlineStr">
        <is>
          <t>繰越在庫</t>
        </is>
      </c>
    </row>
    <row r="3" ht="18" customHeight="1">
      <c r="A3" s="26" t="n">
        <v>2020</v>
      </c>
      <c r="B3" s="27" t="inlineStr">
        <is>
          <t>コシヒカリ</t>
        </is>
      </c>
      <c r="C3" s="28" t="n">
        <v>0</v>
      </c>
      <c r="D3" s="28" t="n">
        <v>0</v>
      </c>
      <c r="E3" s="28" t="n">
        <v>0</v>
      </c>
      <c r="F3" s="6">
        <f>C3+D3-E3</f>
        <v/>
      </c>
    </row>
    <row r="4" ht="18" customHeight="1">
      <c r="A4" s="29" t="inlineStr"/>
      <c r="B4" s="8" t="inlineStr">
        <is>
          <t>ひとめぼれ</t>
        </is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ht="18" customHeight="1">
      <c r="A5" s="29" t="inlineStr"/>
      <c r="B5" s="30" t="inlineStr">
        <is>
          <t>あきたこまち</t>
        </is>
      </c>
      <c r="C5" s="31" t="n">
        <v>0</v>
      </c>
      <c r="D5" s="31" t="n">
        <v>0</v>
      </c>
      <c r="E5" s="31" t="n">
        <v>0</v>
      </c>
      <c r="F5" s="13">
        <f>C5+D5-E5</f>
        <v/>
      </c>
    </row>
    <row r="6" ht="18" customHeight="1">
      <c r="A6" s="29" t="inlineStr"/>
      <c r="B6" s="8" t="inlineStr">
        <is>
          <t>ササニシキ</t>
        </is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ht="18" customHeight="1">
      <c r="A7" s="29" t="inlineStr"/>
      <c r="B7" s="30" t="inlineStr">
        <is>
          <t>つや姫</t>
        </is>
      </c>
      <c r="C7" s="31" t="n">
        <v>0</v>
      </c>
      <c r="D7" s="31" t="n">
        <v>0</v>
      </c>
      <c r="E7" s="31" t="n">
        <v>0</v>
      </c>
      <c r="F7" s="13">
        <f>C7+D7-E7</f>
        <v/>
      </c>
    </row>
    <row r="8" ht="18" customHeight="1">
      <c r="A8" s="29" t="inlineStr"/>
      <c r="B8" s="8" t="inlineStr">
        <is>
          <t>ゆめぴりか</t>
        </is>
      </c>
      <c r="C8" s="9" t="n">
        <v>0</v>
      </c>
      <c r="D8" s="9" t="n">
        <v>0</v>
      </c>
      <c r="E8" s="9" t="n">
        <v>0</v>
      </c>
      <c r="F8" s="10">
        <f>C8+D8-E8</f>
        <v/>
      </c>
    </row>
    <row r="9" ht="18" customHeight="1">
      <c r="A9" s="29" t="inlineStr"/>
      <c r="B9" s="30" t="inlineStr">
        <is>
          <t>新之助</t>
        </is>
      </c>
      <c r="C9" s="31" t="n">
        <v>0</v>
      </c>
      <c r="D9" s="31" t="n">
        <v>0</v>
      </c>
      <c r="E9" s="31" t="n">
        <v>0</v>
      </c>
      <c r="F9" s="13">
        <f>C9+D9-E9</f>
        <v/>
      </c>
    </row>
    <row r="10" ht="20" customHeight="1">
      <c r="A10" s="14" t="inlineStr">
        <is>
          <t>小計</t>
        </is>
      </c>
      <c r="B10" s="15" t="inlineStr">
        <is>
          <t>2020年度 合計</t>
        </is>
      </c>
      <c r="C10" s="13">
        <f>SUM(C3:C9)</f>
        <v/>
      </c>
      <c r="D10" s="13">
        <f>SUM(D3:D9)</f>
        <v/>
      </c>
      <c r="E10" s="13">
        <f>SUM(E3:E9)</f>
        <v/>
      </c>
      <c r="F10" s="13">
        <f>SUM(F3:F9)</f>
        <v/>
      </c>
    </row>
    <row r="12" ht="18" customHeight="1">
      <c r="A12" s="26" t="n">
        <v>2021</v>
      </c>
      <c r="B12" s="27" t="inlineStr">
        <is>
          <t>コシヒカリ</t>
        </is>
      </c>
      <c r="C12" s="28" t="n">
        <v>0</v>
      </c>
      <c r="D12" s="28" t="n">
        <v>0</v>
      </c>
      <c r="E12" s="28" t="n">
        <v>0</v>
      </c>
      <c r="F12" s="6">
        <f>C12+D12-E12</f>
        <v/>
      </c>
    </row>
    <row r="13" ht="18" customHeight="1">
      <c r="A13" s="29" t="inlineStr"/>
      <c r="B13" s="8" t="inlineStr">
        <is>
          <t>ひとめぼれ</t>
        </is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ht="18" customHeight="1">
      <c r="A14" s="29" t="inlineStr"/>
      <c r="B14" s="30" t="inlineStr">
        <is>
          <t>あきたこまち</t>
        </is>
      </c>
      <c r="C14" s="31" t="n">
        <v>0</v>
      </c>
      <c r="D14" s="31" t="n">
        <v>0</v>
      </c>
      <c r="E14" s="31" t="n">
        <v>0</v>
      </c>
      <c r="F14" s="13">
        <f>C14+D14-E14</f>
        <v/>
      </c>
    </row>
    <row r="15" ht="18" customHeight="1">
      <c r="A15" s="29" t="inlineStr"/>
      <c r="B15" s="8" t="inlineStr">
        <is>
          <t>ササニシキ</t>
        </is>
      </c>
      <c r="C15" s="9" t="n">
        <v>0</v>
      </c>
      <c r="D15" s="9" t="n">
        <v>0</v>
      </c>
      <c r="E15" s="9" t="n">
        <v>0</v>
      </c>
      <c r="F15" s="10">
        <f>C15+D15-E15</f>
        <v/>
      </c>
    </row>
    <row r="16" ht="18" customHeight="1">
      <c r="A16" s="29" t="inlineStr"/>
      <c r="B16" s="30" t="inlineStr">
        <is>
          <t>つや姫</t>
        </is>
      </c>
      <c r="C16" s="31" t="n">
        <v>0</v>
      </c>
      <c r="D16" s="31" t="n">
        <v>0</v>
      </c>
      <c r="E16" s="31" t="n">
        <v>0</v>
      </c>
      <c r="F16" s="13">
        <f>C16+D16-E16</f>
        <v/>
      </c>
    </row>
    <row r="17" ht="18" customHeight="1">
      <c r="A17" s="29" t="inlineStr"/>
      <c r="B17" s="8" t="inlineStr">
        <is>
          <t>ゆめぴりか</t>
        </is>
      </c>
      <c r="C17" s="9" t="n">
        <v>0</v>
      </c>
      <c r="D17" s="9" t="n">
        <v>0</v>
      </c>
      <c r="E17" s="9" t="n">
        <v>0</v>
      </c>
      <c r="F17" s="10">
        <f>C17+D17-E17</f>
        <v/>
      </c>
    </row>
    <row r="18" ht="18" customHeight="1">
      <c r="A18" s="29" t="inlineStr"/>
      <c r="B18" s="30" t="inlineStr">
        <is>
          <t>新之助</t>
        </is>
      </c>
      <c r="C18" s="31" t="n">
        <v>0</v>
      </c>
      <c r="D18" s="31" t="n">
        <v>0</v>
      </c>
      <c r="E18" s="31" t="n">
        <v>0</v>
      </c>
      <c r="F18" s="13">
        <f>C18+D18-E18</f>
        <v/>
      </c>
    </row>
    <row r="19" ht="20" customHeight="1">
      <c r="A19" s="14" t="inlineStr">
        <is>
          <t>小計</t>
        </is>
      </c>
      <c r="B19" s="15" t="inlineStr">
        <is>
          <t>2021年度 合計</t>
        </is>
      </c>
      <c r="C19" s="13">
        <f>SUM(C12:C18)</f>
        <v/>
      </c>
      <c r="D19" s="13">
        <f>SUM(D12:D18)</f>
        <v/>
      </c>
      <c r="E19" s="13">
        <f>SUM(E12:E18)</f>
        <v/>
      </c>
      <c r="F19" s="13">
        <f>SUM(F12:F18)</f>
        <v/>
      </c>
    </row>
    <row r="21" ht="18" customHeight="1">
      <c r="A21" s="26" t="n">
        <v>2022</v>
      </c>
      <c r="B21" s="27" t="inlineStr">
        <is>
          <t>コシヒカリ</t>
        </is>
      </c>
      <c r="C21" s="28" t="n">
        <v>0</v>
      </c>
      <c r="D21" s="28" t="n">
        <v>0</v>
      </c>
      <c r="E21" s="28" t="n">
        <v>0</v>
      </c>
      <c r="F21" s="6">
        <f>C21+D21-E21</f>
        <v/>
      </c>
    </row>
    <row r="22" ht="18" customHeight="1">
      <c r="A22" s="29" t="inlineStr"/>
      <c r="B22" s="8" t="inlineStr">
        <is>
          <t>ひとめぼれ</t>
        </is>
      </c>
      <c r="C22" s="9" t="n">
        <v>0</v>
      </c>
      <c r="D22" s="9" t="n">
        <v>0</v>
      </c>
      <c r="E22" s="9" t="n">
        <v>0</v>
      </c>
      <c r="F22" s="10">
        <f>C22+D22-E22</f>
        <v/>
      </c>
    </row>
    <row r="23" ht="18" customHeight="1">
      <c r="A23" s="29" t="inlineStr"/>
      <c r="B23" s="30" t="inlineStr">
        <is>
          <t>あきたこまち</t>
        </is>
      </c>
      <c r="C23" s="31" t="n">
        <v>0</v>
      </c>
      <c r="D23" s="31" t="n">
        <v>0</v>
      </c>
      <c r="E23" s="31" t="n">
        <v>0</v>
      </c>
      <c r="F23" s="13">
        <f>C23+D23-E23</f>
        <v/>
      </c>
    </row>
    <row r="24" ht="18" customHeight="1">
      <c r="A24" s="29" t="inlineStr"/>
      <c r="B24" s="8" t="inlineStr">
        <is>
          <t>ササニシキ</t>
        </is>
      </c>
      <c r="C24" s="9" t="n">
        <v>0</v>
      </c>
      <c r="D24" s="9" t="n">
        <v>0</v>
      </c>
      <c r="E24" s="9" t="n">
        <v>0</v>
      </c>
      <c r="F24" s="10">
        <f>C24+D24-E24</f>
        <v/>
      </c>
    </row>
    <row r="25" ht="18" customHeight="1">
      <c r="A25" s="29" t="inlineStr"/>
      <c r="B25" s="30" t="inlineStr">
        <is>
          <t>つや姫</t>
        </is>
      </c>
      <c r="C25" s="31" t="n">
        <v>0</v>
      </c>
      <c r="D25" s="31" t="n">
        <v>0</v>
      </c>
      <c r="E25" s="31" t="n">
        <v>0</v>
      </c>
      <c r="F25" s="13">
        <f>C25+D25-E25</f>
        <v/>
      </c>
    </row>
    <row r="26" ht="18" customHeight="1">
      <c r="A26" s="29" t="inlineStr"/>
      <c r="B26" s="8" t="inlineStr">
        <is>
          <t>ゆめぴりか</t>
        </is>
      </c>
      <c r="C26" s="9" t="n">
        <v>0</v>
      </c>
      <c r="D26" s="9" t="n">
        <v>0</v>
      </c>
      <c r="E26" s="9" t="n">
        <v>0</v>
      </c>
      <c r="F26" s="10">
        <f>C26+D26-E26</f>
        <v/>
      </c>
    </row>
    <row r="27" ht="18" customHeight="1">
      <c r="A27" s="29" t="inlineStr"/>
      <c r="B27" s="30" t="inlineStr">
        <is>
          <t>新之助</t>
        </is>
      </c>
      <c r="C27" s="31" t="n">
        <v>0</v>
      </c>
      <c r="D27" s="31" t="n">
        <v>0</v>
      </c>
      <c r="E27" s="31" t="n">
        <v>0</v>
      </c>
      <c r="F27" s="13">
        <f>C27+D27-E27</f>
        <v/>
      </c>
    </row>
    <row r="28" ht="20" customHeight="1">
      <c r="A28" s="14" t="inlineStr">
        <is>
          <t>小計</t>
        </is>
      </c>
      <c r="B28" s="15" t="inlineStr">
        <is>
          <t>2022年度 合計</t>
        </is>
      </c>
      <c r="C28" s="13">
        <f>SUM(C21:C27)</f>
        <v/>
      </c>
      <c r="D28" s="13">
        <f>SUM(D21:D27)</f>
        <v/>
      </c>
      <c r="E28" s="13">
        <f>SUM(E21:E27)</f>
        <v/>
      </c>
      <c r="F28" s="13">
        <f>SUM(F21:F27)</f>
        <v/>
      </c>
    </row>
    <row r="30" ht="18" customHeight="1">
      <c r="A30" s="26" t="n">
        <v>2023</v>
      </c>
      <c r="B30" s="27" t="inlineStr">
        <is>
          <t>コシヒカリ</t>
        </is>
      </c>
      <c r="C30" s="28" t="n">
        <v>0</v>
      </c>
      <c r="D30" s="28" t="n">
        <v>0</v>
      </c>
      <c r="E30" s="28" t="n">
        <v>0</v>
      </c>
      <c r="F30" s="6">
        <f>C30+D30-E30</f>
        <v/>
      </c>
    </row>
    <row r="31" ht="18" customHeight="1">
      <c r="A31" s="29" t="inlineStr"/>
      <c r="B31" s="8" t="inlineStr">
        <is>
          <t>ひとめぼれ</t>
        </is>
      </c>
      <c r="C31" s="9" t="n">
        <v>0</v>
      </c>
      <c r="D31" s="9" t="n">
        <v>0</v>
      </c>
      <c r="E31" s="9" t="n">
        <v>0</v>
      </c>
      <c r="F31" s="10">
        <f>C31+D31-E31</f>
        <v/>
      </c>
    </row>
    <row r="32" ht="18" customHeight="1">
      <c r="A32" s="29" t="inlineStr"/>
      <c r="B32" s="30" t="inlineStr">
        <is>
          <t>あきたこまち</t>
        </is>
      </c>
      <c r="C32" s="31" t="n">
        <v>0</v>
      </c>
      <c r="D32" s="31" t="n">
        <v>0</v>
      </c>
      <c r="E32" s="31" t="n">
        <v>0</v>
      </c>
      <c r="F32" s="13">
        <f>C32+D32-E32</f>
        <v/>
      </c>
    </row>
    <row r="33" ht="18" customHeight="1">
      <c r="A33" s="29" t="inlineStr"/>
      <c r="B33" s="8" t="inlineStr">
        <is>
          <t>ササニシキ</t>
        </is>
      </c>
      <c r="C33" s="9" t="n">
        <v>0</v>
      </c>
      <c r="D33" s="9" t="n">
        <v>0</v>
      </c>
      <c r="E33" s="9" t="n">
        <v>0</v>
      </c>
      <c r="F33" s="10">
        <f>C33+D33-E33</f>
        <v/>
      </c>
    </row>
    <row r="34" ht="18" customHeight="1">
      <c r="A34" s="29" t="inlineStr"/>
      <c r="B34" s="30" t="inlineStr">
        <is>
          <t>つや姫</t>
        </is>
      </c>
      <c r="C34" s="31" t="n">
        <v>0</v>
      </c>
      <c r="D34" s="31" t="n">
        <v>0</v>
      </c>
      <c r="E34" s="31" t="n">
        <v>0</v>
      </c>
      <c r="F34" s="13">
        <f>C34+D34-E34</f>
        <v/>
      </c>
    </row>
    <row r="35" ht="18" customHeight="1">
      <c r="A35" s="29" t="inlineStr"/>
      <c r="B35" s="8" t="inlineStr">
        <is>
          <t>ゆめぴりか</t>
        </is>
      </c>
      <c r="C35" s="9" t="n">
        <v>0</v>
      </c>
      <c r="D35" s="9" t="n">
        <v>0</v>
      </c>
      <c r="E35" s="9" t="n">
        <v>0</v>
      </c>
      <c r="F35" s="10">
        <f>C35+D35-E35</f>
        <v/>
      </c>
    </row>
    <row r="36" ht="18" customHeight="1">
      <c r="A36" s="29" t="inlineStr"/>
      <c r="B36" s="30" t="inlineStr">
        <is>
          <t>新之助</t>
        </is>
      </c>
      <c r="C36" s="31" t="n">
        <v>0</v>
      </c>
      <c r="D36" s="31" t="n">
        <v>0</v>
      </c>
      <c r="E36" s="31" t="n">
        <v>0</v>
      </c>
      <c r="F36" s="13">
        <f>C36+D36-E36</f>
        <v/>
      </c>
    </row>
    <row r="37" ht="20" customHeight="1">
      <c r="A37" s="14" t="inlineStr">
        <is>
          <t>小計</t>
        </is>
      </c>
      <c r="B37" s="15" t="inlineStr">
        <is>
          <t>2023年度 合計</t>
        </is>
      </c>
      <c r="C37" s="13">
        <f>SUM(C30:C36)</f>
        <v/>
      </c>
      <c r="D37" s="13">
        <f>SUM(D30:D36)</f>
        <v/>
      </c>
      <c r="E37" s="13">
        <f>SUM(E30:E36)</f>
        <v/>
      </c>
      <c r="F37" s="13">
        <f>SUM(F30:F36)</f>
        <v/>
      </c>
    </row>
    <row r="39" ht="18" customHeight="1">
      <c r="A39" s="26" t="n">
        <v>2024</v>
      </c>
      <c r="B39" s="27" t="inlineStr">
        <is>
          <t>コシヒカリ</t>
        </is>
      </c>
      <c r="C39" s="28" t="n">
        <v>0</v>
      </c>
      <c r="D39" s="28" t="n">
        <v>0</v>
      </c>
      <c r="E39" s="28" t="n">
        <v>0</v>
      </c>
      <c r="F39" s="6">
        <f>C39+D39-E39</f>
        <v/>
      </c>
    </row>
    <row r="40" ht="18" customHeight="1">
      <c r="A40" s="29" t="inlineStr"/>
      <c r="B40" s="8" t="inlineStr">
        <is>
          <t>ひとめぼれ</t>
        </is>
      </c>
      <c r="C40" s="9" t="n">
        <v>0</v>
      </c>
      <c r="D40" s="9" t="n">
        <v>0</v>
      </c>
      <c r="E40" s="9" t="n">
        <v>0</v>
      </c>
      <c r="F40" s="10">
        <f>C40+D40-E40</f>
        <v/>
      </c>
    </row>
    <row r="41" ht="18" customHeight="1">
      <c r="A41" s="29" t="inlineStr"/>
      <c r="B41" s="30" t="inlineStr">
        <is>
          <t>あきたこまち</t>
        </is>
      </c>
      <c r="C41" s="31" t="n">
        <v>0</v>
      </c>
      <c r="D41" s="31" t="n">
        <v>0</v>
      </c>
      <c r="E41" s="31" t="n">
        <v>0</v>
      </c>
      <c r="F41" s="13">
        <f>C41+D41-E41</f>
        <v/>
      </c>
    </row>
    <row r="42" ht="18" customHeight="1">
      <c r="A42" s="29" t="inlineStr"/>
      <c r="B42" s="8" t="inlineStr">
        <is>
          <t>ササニシキ</t>
        </is>
      </c>
      <c r="C42" s="9" t="n">
        <v>0</v>
      </c>
      <c r="D42" s="9" t="n">
        <v>0</v>
      </c>
      <c r="E42" s="9" t="n">
        <v>0</v>
      </c>
      <c r="F42" s="10">
        <f>C42+D42-E42</f>
        <v/>
      </c>
    </row>
    <row r="43" ht="18" customHeight="1">
      <c r="A43" s="29" t="inlineStr"/>
      <c r="B43" s="30" t="inlineStr">
        <is>
          <t>つや姫</t>
        </is>
      </c>
      <c r="C43" s="31" t="n">
        <v>0</v>
      </c>
      <c r="D43" s="31" t="n">
        <v>0</v>
      </c>
      <c r="E43" s="31" t="n">
        <v>0</v>
      </c>
      <c r="F43" s="13">
        <f>C43+D43-E43</f>
        <v/>
      </c>
    </row>
    <row r="44" ht="18" customHeight="1">
      <c r="A44" s="29" t="inlineStr"/>
      <c r="B44" s="8" t="inlineStr">
        <is>
          <t>ゆめぴりか</t>
        </is>
      </c>
      <c r="C44" s="9" t="n">
        <v>0</v>
      </c>
      <c r="D44" s="9" t="n">
        <v>0</v>
      </c>
      <c r="E44" s="9" t="n">
        <v>0</v>
      </c>
      <c r="F44" s="10">
        <f>C44+D44-E44</f>
        <v/>
      </c>
    </row>
    <row r="45" ht="18" customHeight="1">
      <c r="A45" s="29" t="inlineStr"/>
      <c r="B45" s="30" t="inlineStr">
        <is>
          <t>新之助</t>
        </is>
      </c>
      <c r="C45" s="31" t="n">
        <v>0</v>
      </c>
      <c r="D45" s="31" t="n">
        <v>0</v>
      </c>
      <c r="E45" s="31" t="n">
        <v>0</v>
      </c>
      <c r="F45" s="13">
        <f>C45+D45-E45</f>
        <v/>
      </c>
    </row>
    <row r="46" ht="20" customHeight="1">
      <c r="A46" s="14" t="inlineStr">
        <is>
          <t>小計</t>
        </is>
      </c>
      <c r="B46" s="15" t="inlineStr">
        <is>
          <t>2024年度 合計</t>
        </is>
      </c>
      <c r="C46" s="13">
        <f>SUM(C39:C45)</f>
        <v/>
      </c>
      <c r="D46" s="13">
        <f>SUM(D39:D45)</f>
        <v/>
      </c>
      <c r="E46" s="13">
        <f>SUM(E39:E45)</f>
        <v/>
      </c>
      <c r="F46" s="13">
        <f>SUM(F39:F45)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32" t="inlineStr">
        <is>
          <t>米在庫推移管理表　全品種集計</t>
        </is>
      </c>
    </row>
    <row r="2" ht="20" customHeight="1">
      <c r="A2" s="33" t="inlineStr">
        <is>
          <t>年度</t>
        </is>
      </c>
      <c r="B2" s="33" t="inlineStr">
        <is>
          <t>品種</t>
        </is>
      </c>
      <c r="C2" s="33" t="inlineStr">
        <is>
          <t>会社A 繰越</t>
        </is>
      </c>
      <c r="D2" s="33" t="inlineStr">
        <is>
          <t>会社B 繰越</t>
        </is>
      </c>
      <c r="E2" s="33" t="inlineStr">
        <is>
          <t>会社C 繰越</t>
        </is>
      </c>
      <c r="F2" s="33" t="inlineStr">
        <is>
          <t>合計繰越</t>
        </is>
      </c>
      <c r="G2" s="33" t="inlineStr">
        <is>
          <t>前年比</t>
        </is>
      </c>
    </row>
    <row r="3" ht="18" customHeight="1">
      <c r="A3" s="33" t="n">
        <v>2020</v>
      </c>
      <c r="B3" s="34" t="inlineStr">
        <is>
          <t>コシヒカリ</t>
        </is>
      </c>
      <c r="C3" s="35" t="n">
        <v>0</v>
      </c>
      <c r="D3" s="35" t="n">
        <v>0</v>
      </c>
      <c r="E3" s="35" t="n">
        <v>0</v>
      </c>
      <c r="F3" s="13">
        <f>C3+D3+E3</f>
        <v/>
      </c>
      <c r="G3" s="36" t="inlineStr">
        <is>
          <t>-</t>
        </is>
      </c>
    </row>
    <row r="4" ht="18" customHeight="1">
      <c r="A4" s="37" t="inlineStr"/>
      <c r="B4" s="8" t="inlineStr">
        <is>
          <t>ひとめぼれ</t>
        </is>
      </c>
      <c r="C4" s="38" t="n">
        <v>0</v>
      </c>
      <c r="D4" s="38" t="n">
        <v>0</v>
      </c>
      <c r="E4" s="38" t="n">
        <v>0</v>
      </c>
      <c r="F4" s="13">
        <f>C4+D4+E4</f>
        <v/>
      </c>
      <c r="G4" s="39" t="inlineStr">
        <is>
          <t>-</t>
        </is>
      </c>
    </row>
    <row r="5" ht="18" customHeight="1">
      <c r="A5" s="37" t="inlineStr"/>
      <c r="B5" s="34" t="inlineStr">
        <is>
          <t>あきたこまち</t>
        </is>
      </c>
      <c r="C5" s="35" t="n">
        <v>0</v>
      </c>
      <c r="D5" s="35" t="n">
        <v>0</v>
      </c>
      <c r="E5" s="35" t="n">
        <v>0</v>
      </c>
      <c r="F5" s="13">
        <f>C5+D5+E5</f>
        <v/>
      </c>
      <c r="G5" s="36" t="inlineStr">
        <is>
          <t>-</t>
        </is>
      </c>
    </row>
    <row r="6" ht="18" customHeight="1">
      <c r="A6" s="37" t="inlineStr"/>
      <c r="B6" s="8" t="inlineStr">
        <is>
          <t>ササニシキ</t>
        </is>
      </c>
      <c r="C6" s="38" t="n">
        <v>0</v>
      </c>
      <c r="D6" s="38" t="n">
        <v>0</v>
      </c>
      <c r="E6" s="38" t="n">
        <v>0</v>
      </c>
      <c r="F6" s="13">
        <f>C6+D6+E6</f>
        <v/>
      </c>
      <c r="G6" s="39" t="inlineStr">
        <is>
          <t>-</t>
        </is>
      </c>
    </row>
    <row r="7" ht="18" customHeight="1">
      <c r="A7" s="37" t="inlineStr"/>
      <c r="B7" s="34" t="inlineStr">
        <is>
          <t>つや姫</t>
        </is>
      </c>
      <c r="C7" s="35" t="n">
        <v>0</v>
      </c>
      <c r="D7" s="35" t="n">
        <v>0</v>
      </c>
      <c r="E7" s="35" t="n">
        <v>0</v>
      </c>
      <c r="F7" s="13">
        <f>C7+D7+E7</f>
        <v/>
      </c>
      <c r="G7" s="36" t="inlineStr">
        <is>
          <t>-</t>
        </is>
      </c>
    </row>
    <row r="8" ht="18" customHeight="1">
      <c r="A8" s="37" t="inlineStr"/>
      <c r="B8" s="8" t="inlineStr">
        <is>
          <t>ゆめぴりか</t>
        </is>
      </c>
      <c r="C8" s="38" t="n">
        <v>0</v>
      </c>
      <c r="D8" s="38" t="n">
        <v>0</v>
      </c>
      <c r="E8" s="38" t="n">
        <v>0</v>
      </c>
      <c r="F8" s="13">
        <f>C8+D8+E8</f>
        <v/>
      </c>
      <c r="G8" s="39" t="inlineStr">
        <is>
          <t>-</t>
        </is>
      </c>
    </row>
    <row r="9" ht="18" customHeight="1">
      <c r="A9" s="37" t="inlineStr"/>
      <c r="B9" s="34" t="inlineStr">
        <is>
          <t>新之助</t>
        </is>
      </c>
      <c r="C9" s="35" t="n">
        <v>0</v>
      </c>
      <c r="D9" s="35" t="n">
        <v>0</v>
      </c>
      <c r="E9" s="35" t="n">
        <v>0</v>
      </c>
      <c r="F9" s="13">
        <f>C9+D9+E9</f>
        <v/>
      </c>
      <c r="G9" s="36" t="inlineStr">
        <is>
          <t>-</t>
        </is>
      </c>
    </row>
    <row r="11" ht="18" customHeight="1">
      <c r="A11" s="33" t="n">
        <v>2021</v>
      </c>
      <c r="B11" s="34" t="inlineStr">
        <is>
          <t>コシヒカリ</t>
        </is>
      </c>
      <c r="C11" s="35" t="n">
        <v>0</v>
      </c>
      <c r="D11" s="35" t="n">
        <v>0</v>
      </c>
      <c r="E11" s="35" t="n">
        <v>0</v>
      </c>
      <c r="F11" s="13">
        <f>C11+D11+E11</f>
        <v/>
      </c>
      <c r="G11" s="40">
        <f>IFERROR(F11/F3-1,"-")</f>
        <v/>
      </c>
    </row>
    <row r="12" ht="18" customHeight="1">
      <c r="A12" s="37" t="inlineStr"/>
      <c r="B12" s="8" t="inlineStr">
        <is>
          <t>ひとめぼれ</t>
        </is>
      </c>
      <c r="C12" s="38" t="n">
        <v>0</v>
      </c>
      <c r="D12" s="38" t="n">
        <v>0</v>
      </c>
      <c r="E12" s="38" t="n">
        <v>0</v>
      </c>
      <c r="F12" s="13">
        <f>C12+D12+E12</f>
        <v/>
      </c>
      <c r="G12" s="40">
        <f>IFERROR(F12/F4-1,"-")</f>
        <v/>
      </c>
    </row>
    <row r="13" ht="18" customHeight="1">
      <c r="A13" s="37" t="inlineStr"/>
      <c r="B13" s="34" t="inlineStr">
        <is>
          <t>あきたこまち</t>
        </is>
      </c>
      <c r="C13" s="35" t="n">
        <v>0</v>
      </c>
      <c r="D13" s="35" t="n">
        <v>0</v>
      </c>
      <c r="E13" s="35" t="n">
        <v>0</v>
      </c>
      <c r="F13" s="13">
        <f>C13+D13+E13</f>
        <v/>
      </c>
      <c r="G13" s="40">
        <f>IFERROR(F13/F5-1,"-")</f>
        <v/>
      </c>
    </row>
    <row r="14" ht="18" customHeight="1">
      <c r="A14" s="37" t="inlineStr"/>
      <c r="B14" s="8" t="inlineStr">
        <is>
          <t>ササニシキ</t>
        </is>
      </c>
      <c r="C14" s="38" t="n">
        <v>0</v>
      </c>
      <c r="D14" s="38" t="n">
        <v>0</v>
      </c>
      <c r="E14" s="38" t="n">
        <v>0</v>
      </c>
      <c r="F14" s="13">
        <f>C14+D14+E14</f>
        <v/>
      </c>
      <c r="G14" s="40">
        <f>IFERROR(F14/F6-1,"-")</f>
        <v/>
      </c>
    </row>
    <row r="15" ht="18" customHeight="1">
      <c r="A15" s="37" t="inlineStr"/>
      <c r="B15" s="34" t="inlineStr">
        <is>
          <t>つや姫</t>
        </is>
      </c>
      <c r="C15" s="35" t="n">
        <v>0</v>
      </c>
      <c r="D15" s="35" t="n">
        <v>0</v>
      </c>
      <c r="E15" s="35" t="n">
        <v>0</v>
      </c>
      <c r="F15" s="13">
        <f>C15+D15+E15</f>
        <v/>
      </c>
      <c r="G15" s="40">
        <f>IFERROR(F15/F7-1,"-")</f>
        <v/>
      </c>
    </row>
    <row r="16" ht="18" customHeight="1">
      <c r="A16" s="37" t="inlineStr"/>
      <c r="B16" s="8" t="inlineStr">
        <is>
          <t>ゆめぴりか</t>
        </is>
      </c>
      <c r="C16" s="38" t="n">
        <v>0</v>
      </c>
      <c r="D16" s="38" t="n">
        <v>0</v>
      </c>
      <c r="E16" s="38" t="n">
        <v>0</v>
      </c>
      <c r="F16" s="13">
        <f>C16+D16+E16</f>
        <v/>
      </c>
      <c r="G16" s="40">
        <f>IFERROR(F16/F8-1,"-")</f>
        <v/>
      </c>
    </row>
    <row r="17" ht="18" customHeight="1">
      <c r="A17" s="37" t="inlineStr"/>
      <c r="B17" s="34" t="inlineStr">
        <is>
          <t>新之助</t>
        </is>
      </c>
      <c r="C17" s="35" t="n">
        <v>0</v>
      </c>
      <c r="D17" s="35" t="n">
        <v>0</v>
      </c>
      <c r="E17" s="35" t="n">
        <v>0</v>
      </c>
      <c r="F17" s="13">
        <f>C17+D17+E17</f>
        <v/>
      </c>
      <c r="G17" s="40">
        <f>IFERROR(F17/F9-1,"-")</f>
        <v/>
      </c>
    </row>
    <row r="19" ht="18" customHeight="1">
      <c r="A19" s="33" t="n">
        <v>2022</v>
      </c>
      <c r="B19" s="34" t="inlineStr">
        <is>
          <t>コシヒカリ</t>
        </is>
      </c>
      <c r="C19" s="35" t="n">
        <v>0</v>
      </c>
      <c r="D19" s="35" t="n">
        <v>0</v>
      </c>
      <c r="E19" s="35" t="n">
        <v>0</v>
      </c>
      <c r="F19" s="13">
        <f>C19+D19+E19</f>
        <v/>
      </c>
      <c r="G19" s="40">
        <f>IFERROR(F19/F11-1,"-")</f>
        <v/>
      </c>
    </row>
    <row r="20" ht="18" customHeight="1">
      <c r="A20" s="37" t="inlineStr"/>
      <c r="B20" s="8" t="inlineStr">
        <is>
          <t>ひとめぼれ</t>
        </is>
      </c>
      <c r="C20" s="38" t="n">
        <v>0</v>
      </c>
      <c r="D20" s="38" t="n">
        <v>0</v>
      </c>
      <c r="E20" s="38" t="n">
        <v>0</v>
      </c>
      <c r="F20" s="13">
        <f>C20+D20+E20</f>
        <v/>
      </c>
      <c r="G20" s="40">
        <f>IFERROR(F20/F12-1,"-")</f>
        <v/>
      </c>
    </row>
    <row r="21" ht="18" customHeight="1">
      <c r="A21" s="37" t="inlineStr"/>
      <c r="B21" s="34" t="inlineStr">
        <is>
          <t>あきたこまち</t>
        </is>
      </c>
      <c r="C21" s="35" t="n">
        <v>0</v>
      </c>
      <c r="D21" s="35" t="n">
        <v>0</v>
      </c>
      <c r="E21" s="35" t="n">
        <v>0</v>
      </c>
      <c r="F21" s="13">
        <f>C21+D21+E21</f>
        <v/>
      </c>
      <c r="G21" s="40">
        <f>IFERROR(F21/F13-1,"-")</f>
        <v/>
      </c>
    </row>
    <row r="22" ht="18" customHeight="1">
      <c r="A22" s="37" t="inlineStr"/>
      <c r="B22" s="8" t="inlineStr">
        <is>
          <t>ササニシキ</t>
        </is>
      </c>
      <c r="C22" s="38" t="n">
        <v>0</v>
      </c>
      <c r="D22" s="38" t="n">
        <v>0</v>
      </c>
      <c r="E22" s="38" t="n">
        <v>0</v>
      </c>
      <c r="F22" s="13">
        <f>C22+D22+E22</f>
        <v/>
      </c>
      <c r="G22" s="40">
        <f>IFERROR(F22/F14-1,"-")</f>
        <v/>
      </c>
    </row>
    <row r="23" ht="18" customHeight="1">
      <c r="A23" s="37" t="inlineStr"/>
      <c r="B23" s="34" t="inlineStr">
        <is>
          <t>つや姫</t>
        </is>
      </c>
      <c r="C23" s="35" t="n">
        <v>0</v>
      </c>
      <c r="D23" s="35" t="n">
        <v>0</v>
      </c>
      <c r="E23" s="35" t="n">
        <v>0</v>
      </c>
      <c r="F23" s="13">
        <f>C23+D23+E23</f>
        <v/>
      </c>
      <c r="G23" s="40">
        <f>IFERROR(F23/F15-1,"-")</f>
        <v/>
      </c>
    </row>
    <row r="24" ht="18" customHeight="1">
      <c r="A24" s="37" t="inlineStr"/>
      <c r="B24" s="8" t="inlineStr">
        <is>
          <t>ゆめぴりか</t>
        </is>
      </c>
      <c r="C24" s="38" t="n">
        <v>0</v>
      </c>
      <c r="D24" s="38" t="n">
        <v>0</v>
      </c>
      <c r="E24" s="38" t="n">
        <v>0</v>
      </c>
      <c r="F24" s="13">
        <f>C24+D24+E24</f>
        <v/>
      </c>
      <c r="G24" s="40">
        <f>IFERROR(F24/F16-1,"-")</f>
        <v/>
      </c>
    </row>
    <row r="25" ht="18" customHeight="1">
      <c r="A25" s="37" t="inlineStr"/>
      <c r="B25" s="34" t="inlineStr">
        <is>
          <t>新之助</t>
        </is>
      </c>
      <c r="C25" s="35" t="n">
        <v>0</v>
      </c>
      <c r="D25" s="35" t="n">
        <v>0</v>
      </c>
      <c r="E25" s="35" t="n">
        <v>0</v>
      </c>
      <c r="F25" s="13">
        <f>C25+D25+E25</f>
        <v/>
      </c>
      <c r="G25" s="40">
        <f>IFERROR(F25/F17-1,"-")</f>
        <v/>
      </c>
    </row>
    <row r="27" ht="18" customHeight="1">
      <c r="A27" s="33" t="n">
        <v>2023</v>
      </c>
      <c r="B27" s="34" t="inlineStr">
        <is>
          <t>コシヒカリ</t>
        </is>
      </c>
      <c r="C27" s="35" t="n">
        <v>0</v>
      </c>
      <c r="D27" s="35" t="n">
        <v>0</v>
      </c>
      <c r="E27" s="35" t="n">
        <v>0</v>
      </c>
      <c r="F27" s="13">
        <f>C27+D27+E27</f>
        <v/>
      </c>
      <c r="G27" s="40">
        <f>IFERROR(F27/F19-1,"-")</f>
        <v/>
      </c>
    </row>
    <row r="28" ht="18" customHeight="1">
      <c r="A28" s="37" t="inlineStr"/>
      <c r="B28" s="8" t="inlineStr">
        <is>
          <t>ひとめぼれ</t>
        </is>
      </c>
      <c r="C28" s="38" t="n">
        <v>0</v>
      </c>
      <c r="D28" s="38" t="n">
        <v>0</v>
      </c>
      <c r="E28" s="38" t="n">
        <v>0</v>
      </c>
      <c r="F28" s="13">
        <f>C28+D28+E28</f>
        <v/>
      </c>
      <c r="G28" s="40">
        <f>IFERROR(F28/F20-1,"-")</f>
        <v/>
      </c>
    </row>
    <row r="29" ht="18" customHeight="1">
      <c r="A29" s="37" t="inlineStr"/>
      <c r="B29" s="34" t="inlineStr">
        <is>
          <t>あきたこまち</t>
        </is>
      </c>
      <c r="C29" s="35" t="n">
        <v>0</v>
      </c>
      <c r="D29" s="35" t="n">
        <v>0</v>
      </c>
      <c r="E29" s="35" t="n">
        <v>0</v>
      </c>
      <c r="F29" s="13">
        <f>C29+D29+E29</f>
        <v/>
      </c>
      <c r="G29" s="40">
        <f>IFERROR(F29/F21-1,"-")</f>
        <v/>
      </c>
    </row>
    <row r="30" ht="18" customHeight="1">
      <c r="A30" s="37" t="inlineStr"/>
      <c r="B30" s="8" t="inlineStr">
        <is>
          <t>ササニシキ</t>
        </is>
      </c>
      <c r="C30" s="38" t="n">
        <v>0</v>
      </c>
      <c r="D30" s="38" t="n">
        <v>0</v>
      </c>
      <c r="E30" s="38" t="n">
        <v>0</v>
      </c>
      <c r="F30" s="13">
        <f>C30+D30+E30</f>
        <v/>
      </c>
      <c r="G30" s="40">
        <f>IFERROR(F30/F22-1,"-")</f>
        <v/>
      </c>
    </row>
    <row r="31" ht="18" customHeight="1">
      <c r="A31" s="37" t="inlineStr"/>
      <c r="B31" s="34" t="inlineStr">
        <is>
          <t>つや姫</t>
        </is>
      </c>
      <c r="C31" s="35" t="n">
        <v>0</v>
      </c>
      <c r="D31" s="35" t="n">
        <v>0</v>
      </c>
      <c r="E31" s="35" t="n">
        <v>0</v>
      </c>
      <c r="F31" s="13">
        <f>C31+D31+E31</f>
        <v/>
      </c>
      <c r="G31" s="40">
        <f>IFERROR(F31/F23-1,"-")</f>
        <v/>
      </c>
    </row>
    <row r="32" ht="18" customHeight="1">
      <c r="A32" s="37" t="inlineStr"/>
      <c r="B32" s="8" t="inlineStr">
        <is>
          <t>ゆめぴりか</t>
        </is>
      </c>
      <c r="C32" s="38" t="n">
        <v>0</v>
      </c>
      <c r="D32" s="38" t="n">
        <v>0</v>
      </c>
      <c r="E32" s="38" t="n">
        <v>0</v>
      </c>
      <c r="F32" s="13">
        <f>C32+D32+E32</f>
        <v/>
      </c>
      <c r="G32" s="40">
        <f>IFERROR(F32/F24-1,"-")</f>
        <v/>
      </c>
    </row>
    <row r="33" ht="18" customHeight="1">
      <c r="A33" s="37" t="inlineStr"/>
      <c r="B33" s="34" t="inlineStr">
        <is>
          <t>新之助</t>
        </is>
      </c>
      <c r="C33" s="35" t="n">
        <v>0</v>
      </c>
      <c r="D33" s="35" t="n">
        <v>0</v>
      </c>
      <c r="E33" s="35" t="n">
        <v>0</v>
      </c>
      <c r="F33" s="13">
        <f>C33+D33+E33</f>
        <v/>
      </c>
      <c r="G33" s="40">
        <f>IFERROR(F33/F25-1,"-")</f>
        <v/>
      </c>
    </row>
    <row r="35" ht="18" customHeight="1">
      <c r="A35" s="33" t="n">
        <v>2024</v>
      </c>
      <c r="B35" s="34" t="inlineStr">
        <is>
          <t>コシヒカリ</t>
        </is>
      </c>
      <c r="C35" s="35" t="n">
        <v>0</v>
      </c>
      <c r="D35" s="35" t="n">
        <v>0</v>
      </c>
      <c r="E35" s="35" t="n">
        <v>0</v>
      </c>
      <c r="F35" s="13">
        <f>C35+D35+E35</f>
        <v/>
      </c>
      <c r="G35" s="40">
        <f>IFERROR(F35/F27-1,"-")</f>
        <v/>
      </c>
    </row>
    <row r="36" ht="18" customHeight="1">
      <c r="A36" s="37" t="inlineStr"/>
      <c r="B36" s="8" t="inlineStr">
        <is>
          <t>ひとめぼれ</t>
        </is>
      </c>
      <c r="C36" s="38" t="n">
        <v>0</v>
      </c>
      <c r="D36" s="38" t="n">
        <v>0</v>
      </c>
      <c r="E36" s="38" t="n">
        <v>0</v>
      </c>
      <c r="F36" s="13">
        <f>C36+D36+E36</f>
        <v/>
      </c>
      <c r="G36" s="40">
        <f>IFERROR(F36/F28-1,"-")</f>
        <v/>
      </c>
    </row>
    <row r="37" ht="18" customHeight="1">
      <c r="A37" s="37" t="inlineStr"/>
      <c r="B37" s="34" t="inlineStr">
        <is>
          <t>あきたこまち</t>
        </is>
      </c>
      <c r="C37" s="35" t="n">
        <v>0</v>
      </c>
      <c r="D37" s="35" t="n">
        <v>0</v>
      </c>
      <c r="E37" s="35" t="n">
        <v>0</v>
      </c>
      <c r="F37" s="13">
        <f>C37+D37+E37</f>
        <v/>
      </c>
      <c r="G37" s="40">
        <f>IFERROR(F37/F29-1,"-")</f>
        <v/>
      </c>
    </row>
    <row r="38" ht="18" customHeight="1">
      <c r="A38" s="37" t="inlineStr"/>
      <c r="B38" s="8" t="inlineStr">
        <is>
          <t>ササニシキ</t>
        </is>
      </c>
      <c r="C38" s="38" t="n">
        <v>0</v>
      </c>
      <c r="D38" s="38" t="n">
        <v>0</v>
      </c>
      <c r="E38" s="38" t="n">
        <v>0</v>
      </c>
      <c r="F38" s="13">
        <f>C38+D38+E38</f>
        <v/>
      </c>
      <c r="G38" s="40">
        <f>IFERROR(F38/F30-1,"-")</f>
        <v/>
      </c>
    </row>
    <row r="39" ht="18" customHeight="1">
      <c r="A39" s="37" t="inlineStr"/>
      <c r="B39" s="34" t="inlineStr">
        <is>
          <t>つや姫</t>
        </is>
      </c>
      <c r="C39" s="35" t="n">
        <v>0</v>
      </c>
      <c r="D39" s="35" t="n">
        <v>0</v>
      </c>
      <c r="E39" s="35" t="n">
        <v>0</v>
      </c>
      <c r="F39" s="13">
        <f>C39+D39+E39</f>
        <v/>
      </c>
      <c r="G39" s="40">
        <f>IFERROR(F39/F31-1,"-")</f>
        <v/>
      </c>
    </row>
    <row r="40" ht="18" customHeight="1">
      <c r="A40" s="37" t="inlineStr"/>
      <c r="B40" s="8" t="inlineStr">
        <is>
          <t>ゆめぴりか</t>
        </is>
      </c>
      <c r="C40" s="38" t="n">
        <v>0</v>
      </c>
      <c r="D40" s="38" t="n">
        <v>0</v>
      </c>
      <c r="E40" s="38" t="n">
        <v>0</v>
      </c>
      <c r="F40" s="13">
        <f>C40+D40+E40</f>
        <v/>
      </c>
      <c r="G40" s="40">
        <f>IFERROR(F40/F32-1,"-")</f>
        <v/>
      </c>
    </row>
    <row r="41" ht="18" customHeight="1">
      <c r="A41" s="37" t="inlineStr"/>
      <c r="B41" s="34" t="inlineStr">
        <is>
          <t>新之助</t>
        </is>
      </c>
      <c r="C41" s="35" t="n">
        <v>0</v>
      </c>
      <c r="D41" s="35" t="n">
        <v>0</v>
      </c>
      <c r="E41" s="35" t="n">
        <v>0</v>
      </c>
      <c r="F41" s="13">
        <f>C41+D41+E41</f>
        <v/>
      </c>
      <c r="G41" s="40">
        <f>IFERROR(F41/F33-1,"-")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2026-03-27T00:51:13Z</dcterms:created>
  <dcterms:modified xsi:type="dcterms:W3CDTF">2026-03-27T00:51:14Z</dcterms:modified>
</cp:coreProperties>
</file>